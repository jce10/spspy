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a04d2c99b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R Calibration" sheetId="1" r:id="R09d5b3c80d8744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E+00"/>
    <x:numFmt numFmtId="201" formatCode="0.00000000"/>
    <x:numFmt numFmtId="202" formatCode="0"/>
    <x:numFmt numFmtId="203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1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76361aeca46ec" /><Relationship Type="http://schemas.openxmlformats.org/officeDocument/2006/relationships/theme" Target="/xl/theme/theme1.xml" Id="R64194dfef2894538" /><Relationship Type="http://schemas.openxmlformats.org/officeDocument/2006/relationships/sharedStrings" Target="/xl/sharedStrings.xml" Id="Rad998595801749ec" /><Relationship Type="http://schemas.openxmlformats.org/officeDocument/2006/relationships/worksheet" Target="/xl/worksheets/sheet1.xml" Id="R09d5b3c80d8744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1b0c6013f242a0" /><Relationship Type="http://schemas.openxmlformats.org/officeDocument/2006/relationships/chart" Target="/xl/drawings/charts/chart2.xml" Id="R7d7b497afc5b461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Calibration points</c:v>
          </c:tx>
          <c:xVal>
            <c:numLit>
              <c:formatCode>General</c:formatCode>
              <c:ptCount val="0"/>
            </c:numLit>
          </c:xVal>
          <c:yVal>
            <c:numRef>
              <c:f>'ODR Calibration'!$H$27:$H$30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Linear ODR fit</c:v>
          </c:tx>
          <c:xVal>
            <c:numLit>
              <c:formatCode>General</c:formatCode>
              <c:ptCount val="0"/>
            </c:numLit>
          </c:xVal>
          <c:yVal>
            <c:numRef>
              <c:f>'ODR Calibration'!$C$35:$C$36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ser>
          <c:idx val="0"/>
          <c:order val="0"/>
          <c:tx>
            <c:v>Residual</c:v>
          </c:tx>
          <c:xVal>
            <c:numLit>
              <c:formatCode>General</c:formatCode>
              <c:ptCount val="0"/>
            </c:numLit>
          </c:xVal>
          <c:yVal>
            <c:numRef>
              <c:f>'ODR Calibration'!$J$27:$J$30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b0c6013f242a0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18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7b497afc5b46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ab3bd49f79434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5" hidden="0" customWidth="1"/>
    <x:col min="6" max="6" width="14" hidden="0" customWidth="1"/>
    <x:col min="7" max="7" width="14" hidden="0" customWidth="1"/>
    <x:col min="8" max="8" width="23" hidden="0" customWidth="1"/>
    <x:col min="9" max="9" width="23" hidden="0" customWidth="1"/>
    <x:col min="10" max="10" width="16" hidden="0" customWidth="1"/>
    <x:col min="11" max="11" width="16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4" hidden="0" customWidth="1"/>
    <x:col min="18" max="18" width="20" hidden="0" customWidth="1"/>
  </x:cols>
  <x:sheetData>
    <x:row r="1">
      <x:c r="A1" s="5" t="str">
        <x:v>12C(d,p)13C Calibration — Manual ODR Cross-Check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2" t="str">
        <x:v>Reproduces the SPANC linear ODR calibration with x and rho uncertainties. Use LibreOffice Calc Solver to minimize Chi-square by changing a0 and a1.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20" t="str">
        <x:v>Fit parameter / statistic</x:v>
      </x:c>
      <x:c r="B4" s="20" t="str">
        <x:v>Value</x:v>
      </x:c>
      <x:c r="D4" s="20" t="str">
        <x:v>SPANC cross-check</x:v>
      </x:c>
      <x:c r="E4" s="20" t="str">
        <x:v>Expected</x:v>
      </x:c>
      <x:c r="F4" s="20" t="str">
        <x:v>Difference</x:v>
      </x:c>
      <x:c r="H4" s="20" t="str">
        <x:v>LibreOffice Calc Solver setup</x:v>
      </x:c>
      <x:c r="I4" s="20"/>
      <x:c r="J4" s="20"/>
      <x:c r="K4" s="20"/>
      <x:c r="L4" s="20"/>
      <x:c r="M4" s="20"/>
      <x:c r="N4" s="20"/>
      <x:c r="O4" s="20"/>
      <x:c r="P4" s="20"/>
      <x:c r="Q4" s="20"/>
      <x:c r="R4" s="20"/>
    </x:row>
    <x:row r="5">
      <x:c r="A5" s="26" t="str">
        <x:v>a0 (cm)</x:v>
      </x:c>
      <x:c r="B5" s="36" t="n">
        <x:v>81.7785918</x:v>
      </x:c>
      <x:c r="D5" t="str">
        <x:v>a0</x:v>
      </x:c>
      <x:c r="E5" s="39" t="n">
        <x:v>81.7785918</x:v>
      </x:c>
      <x:c r="F5" s="39" t="n">
        <x:f>B5-E5</x:f>
        <x:v>0</x:v>
      </x:c>
      <x:c r="H5" t="str">
        <x:v>1.</x:v>
      </x:c>
      <x:c r="I5" t="str">
        <x:v>Open Tools → Solver.</x:v>
      </x:c>
    </x:row>
    <x:row r="6">
      <x:c r="A6" s="26" t="str">
        <x:v>a1 (cm/mm)</x:v>
      </x:c>
      <x:c r="B6" s="36" t="n">
        <x:v>0.0379952633</x:v>
      </x:c>
      <x:c r="D6" t="str">
        <x:v>a1</x:v>
      </x:c>
      <x:c r="E6" s="39" t="n">
        <x:v>0.0379952633</x:v>
      </x:c>
      <x:c r="F6" s="39" t="n">
        <x:f>B6-E6</x:f>
        <x:v>0</x:v>
      </x:c>
      <x:c r="H6" t="str">
        <x:v>2.</x:v>
      </x:c>
      <x:c r="I6" t="str">
        <x:v>Target cell: $B$10 (Chi-square).</x:v>
      </x:c>
    </x:row>
    <x:row r="7">
      <x:c r="A7" s="26" t="str">
        <x:v>N data</x:v>
      </x:c>
      <x:c r="B7" t="n">
        <x:v>4</x:v>
      </x:c>
      <x:c r="D7" t="str">
        <x:v>Chi-square</x:v>
      </x:c>
      <x:c r="E7" s="39" t="n">
        <x:v>6.00265986</x:v>
      </x:c>
      <x:c r="F7" s="39" t="n">
        <x:f>B10-E7</x:f>
        <x:v>-3.537673265441299e-9</x:v>
      </x:c>
      <x:c r="H7" t="str">
        <x:v>3.</x:v>
      </x:c>
      <x:c r="I7" t="str">
        <x:v>Optimize result to: Minimum.</x:v>
      </x:c>
    </x:row>
    <x:row r="8">
      <x:c r="A8" s="26" t="str">
        <x:v>N parameters</x:v>
      </x:c>
      <x:c r="B8" t="n">
        <x:v>2</x:v>
      </x:c>
      <x:c r="D8" t="str">
        <x:v>NDF</x:v>
      </x:c>
      <x:c r="E8" s="39" t="n">
        <x:v>2</x:v>
      </x:c>
      <x:c r="F8" s="39" t="n">
        <x:f>B9-E8</x:f>
        <x:v>0</x:v>
      </x:c>
      <x:c r="H8" t="str">
        <x:v>4.</x:v>
      </x:c>
      <x:c r="I8" t="str">
        <x:v>By changing cells: $B$5:$B$6 (a0 and a1).</x:v>
      </x:c>
    </x:row>
    <x:row r="9">
      <x:c r="A9" s="26" t="str">
        <x:v>NDF</x:v>
      </x:c>
      <x:c r="B9" t="n">
        <x:f>B7-B8</x:f>
        <x:v>2</x:v>
      </x:c>
      <x:c r="D9" t="str">
        <x:v>Reduced Chi-square</x:v>
      </x:c>
      <x:c r="E9" s="39" t="n">
        <x:v>3.00132993</x:v>
      </x:c>
      <x:c r="F9" s="39" t="n">
        <x:f>B11-E9</x:f>
        <x:v>-1.7688366327206495e-9</x:v>
      </x:c>
      <x:c r="H9" t="str">
        <x:v>5.</x:v>
      </x:c>
      <x:c r="I9" t="str">
        <x:v>No constraints are required for this linear calibration.</x:v>
      </x:c>
    </x:row>
    <x:row r="10">
      <x:c r="A10" s="26" t="str">
        <x:v>Chi-square (ODR weighted sum)</x:v>
      </x:c>
      <x:c r="B10" s="38" t="n">
        <x:f>SUM(L27:L30)</x:f>
        <x:v>6.002659856462326</x:v>
      </x:c>
      <x:c r="D10" t="str">
        <x:v>u(a0)</x:v>
      </x:c>
      <x:c r="E10" s="39" t="n">
        <x:v>0.01263775</x:v>
      </x:c>
      <x:c r="F10" s="39" t="n">
        <x:f>B21-E10</x:f>
        <x:v>4.947176952818655e-9</x:v>
      </x:c>
      <x:c r="H10" t="str">
        <x:v>6.</x:v>
      </x:c>
      <x:c r="I10" t="str">
        <x:v>Starting near a0≈81.8 and a1≈0.038 should converge immediately.</x:v>
      </x:c>
    </x:row>
    <x:row r="11">
      <x:c r="A11" s="26" t="str">
        <x:v>Reduced Chi-square</x:v>
      </x:c>
      <x:c r="B11" s="38" t="n">
        <x:f>B10/B9</x:f>
        <x:v>3.001329928231163</x:v>
      </x:c>
      <x:c r="D11" t="str">
        <x:v>u(a1)</x:v>
      </x:c>
      <x:c r="E11" s="39" t="n">
        <x:v>0.0000936656</x:v>
      </x:c>
      <x:c r="F11" s="39" t="n">
        <x:f>B22-E11</x:f>
        <x:v>1.3806779455621462e-10</x:v>
      </x:c>
      <x:c r="H11" t="str">
        <x:v>7.</x:v>
      </x:c>
      <x:c r="I11" t="str">
        <x:v>After Solver converges, the formulas below reproduce residuals, studentized residuals, and parameter errors.</x:v>
      </x:c>
    </x:row>
    <x:row r="12">
      <x:c r="A12" s="26" t="str">
        <x:v>Residual std. s (cm)</x:v>
      </x:c>
      <x:c r="B12" s="39" t="n">
        <x:f>SQRT(SUMSQ(J27:J30)/B9)</x:f>
        <x:v>0.04044753565678785</x:v>
      </x:c>
    </x:row>
    <x:row r="13">
      <x:c r="A13" s="26" t="str">
        <x:v>Mean x (mm)</x:v>
      </x:c>
      <x:c r="B13" s="39" t="n">
        <x:f>AVERAGE(D27:D30)</x:f>
        <x:v>27.375005</x:v>
      </x:c>
      <x:c r="H13" s="20" t="str">
        <x:v>ODR objective used here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</x:row>
    <x:row r="14">
      <x:c r="A14" s="26" t="str">
        <x:v>Sxx (mm^2)</x:v>
      </x:c>
      <x:c r="B14" s="39" t="n">
        <x:f>SUMPRODUCT((D27:D30-B13)*(D27:D30-B13))</x:f>
        <x:v>52355.39158073635</x:v>
      </x:c>
      <x:c r="H14" t="str">
        <x:v>For a linear model rho = a0 + a1*x with independent uncertainties in x and rho, the profiled ODR contribution is:  chi_i^2 = [rho_i - (a0 + a1*x_i)]^2 / [u_rho,i^2 + a1^2*u_x,i^2].  Summing those terms reproduces SciPy ODR's sum_square.</x:v>
      </x:c>
    </x:row>
    <x:row r="15">
      <x:c r="A15" s="26" t="str">
        <x:v>S0 = SUM(w)</x:v>
      </x:c>
      <x:c r="B15" s="39" t="n">
        <x:f>SUM(O27:O30)</x:f>
        <x:v>22100.630061088104</x:v>
      </x:c>
    </x:row>
    <x:row r="16">
      <x:c r="A16" s="26" t="str">
        <x:v>S1 = SUM(w*x_adj)</x:v>
      </x:c>
      <x:c r="B16" s="39" t="n">
        <x:f>SUMPRODUCT(O27:O30,N27:N30)</x:f>
        <x:v>1153753.7289961968</x:v>
      </x:c>
    </x:row>
    <x:row r="17">
      <x:c r="A17" s="26" t="str">
        <x:v>S2 = SUM(w*x_adj^2)</x:v>
      </x:c>
      <x:c r="B17" s="39" t="n">
        <x:f>SUMPRODUCT(O27:O30,N27:N30,N27:N30)</x:f>
        <x:v>402330535.81157696</x:v>
      </x:c>
    </x:row>
    <x:row r="18">
      <x:c r="A18" s="26" t="str">
        <x:v>Cov(a0,a0), unscaled</x:v>
      </x:c>
      <x:c r="B18" s="39" t="n">
        <x:f>B17/(B15*B17-B16^2)</x:f>
        <x:v>0.000053214026422953936</x:v>
      </x:c>
    </x:row>
    <x:row r="19">
      <x:c r="A19" s="26" t="str">
        <x:v>Cov(a0,a1), unscaled</x:v>
      </x:c>
      <x:c r="B19" s="39" t="n">
        <x:f>-B16/(B15*B17-B16^2)</x:f>
        <x:v>-1.526006006393179e-7</x:v>
      </x:c>
    </x:row>
    <x:row r="20">
      <x:c r="A20" s="26" t="str">
        <x:v>Cov(a1,a1), unscaled</x:v>
      </x:c>
      <x:c r="B20" s="39" t="n">
        <x:f>B15/(B15*B17-B16^2)</x:f>
        <x:v>2.9231276459350253e-9</x:v>
      </x:c>
    </x:row>
    <x:row r="21">
      <x:c r="A21" s="26" t="str">
        <x:v>u(a0) (cm)</x:v>
      </x:c>
      <x:c r="B21" s="39" t="n">
        <x:f>SQRT(B18*B11)</x:f>
        <x:v>0.012637754947176952</x:v>
      </x:c>
    </x:row>
    <x:row r="22">
      <x:c r="A22" s="26" t="str">
        <x:v>u(a1) (cm/mm)</x:v>
      </x:c>
      <x:c r="B22" s="39" t="n">
        <x:f>SQRT(B20*B11)</x:f>
        <x:v>0.00009366573806779456</x:v>
      </x:c>
    </x:row>
    <x:row r="26">
      <x:c r="A26" s="20" t="str">
        <x:v>Peak ID</x:v>
      </x:c>
      <x:c r="B26" s="20" t="str">
        <x:v>Ex (MeV)</x:v>
      </x:c>
      <x:c r="C26" s="20" t="str">
        <x:v>uEx (MeV)</x:v>
      </x:c>
      <x:c r="D26" s="20" t="str">
        <x:v>x (mm)</x:v>
      </x:c>
      <x:c r="E26" s="20" t="str">
        <x:v>ux stat. (mm)</x:v>
      </x:c>
      <x:c r="F26" s="20" t="str">
        <x:v>ux sys. (mm)</x:v>
      </x:c>
      <x:c r="G26" s="20" t="str">
        <x:v>ux total (mm)</x:v>
      </x:c>
      <x:c r="H26" s="20" t="str">
        <x:v>rho (cm)</x:v>
      </x:c>
      <x:c r="I26" s="20" t="str">
        <x:v>u rho (cm)</x:v>
      </x:c>
      <x:c r="J26" s="20" t="str">
        <x:v>residual r (cm)</x:v>
      </x:c>
      <x:c r="K26" s="20" t="str">
        <x:v>sigma_eff (cm)</x:v>
      </x:c>
      <x:c r="L26" s="20" t="str">
        <x:v>chi_i^2</x:v>
      </x:c>
      <x:c r="M26" s="20" t="str">
        <x:v>delta x (mm)</x:v>
      </x:c>
      <x:c r="N26" s="20" t="str">
        <x:v>x_adj (mm)</x:v>
      </x:c>
      <x:c r="O26" s="20" t="str">
        <x:v>weight w</x:v>
      </x:c>
      <x:c r="P26" s="20" t="str">
        <x:v>rho_fit (cm)</x:v>
      </x:c>
      <x:c r="Q26" s="20" t="str">
        <x:v>leverage h_ii</x:v>
      </x:c>
      <x:c r="R26" s="20" t="str">
        <x:v>studentized residual</x:v>
      </x:c>
    </x:row>
    <x:row r="27">
      <x:c r="A27" s="44" t="n">
        <x:v>0</x:v>
      </x:c>
      <x:c r="B27" s="46" t="n">
        <x:v>7.547</x:v>
      </x:c>
      <x:c r="C27" s="46" t="n">
        <x:v>0.003</x:v>
      </x:c>
      <x:c r="D27" s="46" t="n">
        <x:v>63.35716</x:v>
      </x:c>
      <x:c r="E27" s="46" t="n">
        <x:v>0.247732</x:v>
      </x:c>
      <x:c r="F27" s="46" t="n">
        <x:v>0.1</x:v>
      </x:c>
      <x:c r="G27" s="46" t="n">
        <x:f>SQRT(E27^2+F27^2)</x:f>
        <x:v>0.2671537830987987</x:v>
      </x:c>
      <x:c r="H27" s="42" t="n">
        <x:v>84.22010651074646</x:v>
      </x:c>
      <x:c r="I27" s="42" t="n">
        <x:v>0.012574149699901227</x:v>
      </x:c>
      <x:c r="J27" s="42" t="n">
        <x:f>H27-P27</x:f>
        <x:v>0.034242734606237946</x:v>
      </x:c>
      <x:c r="K27" s="42" t="n">
        <x:f>SQRT(I27^2+($B$6*G27)^2)</x:f>
        <x:v>0.016159934440390534</x:v>
      </x:c>
      <x:c r="L27" s="42" t="n">
        <x:f>(J27/K27)^2</x:f>
        <x:v>4.490117341985912</x:v>
      </x:c>
      <x:c r="M27" s="42" t="n">
        <x:f>$B$6*G27^2*J27/K27^2</x:f>
        <x:v>0.35558330831939494</x:v>
      </x:c>
      <x:c r="N27" s="42" t="n">
        <x:f>D27+M27</x:f>
        <x:v>63.712743308319396</x:v>
      </x:c>
      <x:c r="O27" s="42" t="n">
        <x:f>1/K27^2</x:f>
        <x:v>3829.312513258613</x:v>
      </x:c>
      <x:c r="P27" s="42" t="n">
        <x:f>$B$5+$B$6*D27</x:f>
        <x:v>84.18586377614022</x:v>
      </x:c>
      <x:c r="Q27" s="42" t="n">
        <x:f>1/$B$7+(D27-$B$13)^2/$B$14</x:f>
        <x:v>0.2747293629052027</x:v>
      </x:c>
      <x:c r="R27" s="42" t="n">
        <x:f>J27/($B$12*SQRT(1-Q27))</x:f>
        <x:v>0.9940914208051456</x:v>
      </x:c>
    </x:row>
    <x:row r="28">
      <x:c r="A28" s="44" t="n">
        <x:v>1</x:v>
      </x:c>
      <x:c r="B28" s="46" t="n">
        <x:v>7.492</x:v>
      </x:c>
      <x:c r="C28" s="46" t="n">
        <x:v>0.01</x:v>
      </x:c>
      <x:c r="D28" s="46" t="n">
        <x:v>71.500093</x:v>
      </x:c>
      <x:c r="E28" s="46" t="n">
        <x:v>0.756191</x:v>
      </x:c>
      <x:c r="F28" s="46" t="n">
        <x:v>0.1</x:v>
      </x:c>
      <x:c r="G28" s="46" t="n">
        <x:f>SQRT(E28^2+F28^2)</x:f>
        <x:v>0.7627744283082646</x:v>
      </x:c>
      <x:c r="H28" s="42" t="n">
        <x:v>84.45026221817731</x:v>
      </x:c>
      <x:c r="I28" s="42" t="n">
        <x:v>0.04179438718365702</x:v>
      </x:c>
      <x:c r="J28" s="42" t="n">
        <x:f>H28-P28</x:f>
        <x:v>-0.04499444133217878</x:v>
      </x:c>
      <x:c r="K28" s="42" t="n">
        <x:f>SQRT(I28^2+($B$6*G28)^2)</x:f>
        <x:v>0.050859772067749824</x:v>
      </x:c>
      <x:c r="L28" s="42" t="n">
        <x:f>(J28/K28)^2</x:f>
        <x:v>0.7826523770539994</x:v>
      </x:c>
      <x:c r="M28" s="42" t="n">
        <x:f>$B$6*G28^2*J28/K28^2</x:f>
        <x:v>-0.3845313506366645</x:v>
      </x:c>
      <x:c r="N28" s="42" t="n">
        <x:f>D28+M28</x:f>
        <x:v>71.11556164936334</x:v>
      </x:c>
      <x:c r="O28" s="42" t="n">
        <x:f>1/K28^2</x:f>
        <x:v>386.5905030349878</x:v>
      </x:c>
      <x:c r="P28" s="42" t="n">
        <x:f>$B$5+$B$6*D28</x:f>
        <x:v>84.4952566595095</x:v>
      </x:c>
      <x:c r="Q28" s="42" t="n">
        <x:f>1/$B$7+(D28-$B$13)^2/$B$14</x:f>
        <x:v>0.28718859380519146</x:v>
      </x:c>
      <x:c r="R28" s="42" t="n">
        <x:f>J28/($B$12*SQRT(1-Q28))</x:f>
        <x:v>-1.3175875333910814</x:v>
      </x:c>
    </x:row>
    <x:row r="29">
      <x:c r="A29" s="44" t="n">
        <x:v>2</x:v>
      </x:c>
      <x:c r="B29" s="46" t="n">
        <x:v>6.86</x:v>
      </x:c>
      <x:c r="C29" s="46" t="n">
        <x:v>0.00046</x:v>
      </x:c>
      <x:c r="D29" s="46" t="n">
        <x:v>138.82232</x:v>
      </x:c>
      <x:c r="E29" s="46" t="n">
        <x:v>0.20623</x:v>
      </x:c>
      <x:c r="F29" s="46" t="n">
        <x:v>0.1</x:v>
      </x:c>
      <x:c r="G29" s="46" t="n">
        <x:f>SQRT(E29^2+F29^2)</x:f>
        <x:v>0.22919601414509808</x:v>
      </x:c>
      <x:c r="H29" s="42" t="n">
        <x:v>87.04642890767622</x:v>
      </x:c>
      <x:c r="I29" s="42" t="n">
        <x:v>0.001858336245518899</x:v>
      </x:c>
      <x:c r="J29" s="42" t="n">
        <x:f>H29-P29</x:f>
        <x:v>-0.006753492640640957</x:v>
      </x:c>
      <x:c r="K29" s="42" t="n">
        <x:f>SQRT(I29^2+($B$6*G29)^2)</x:f>
        <x:v>0.008904436988507276</x:v>
      </x:c>
      <x:c r="L29" s="42" t="n">
        <x:f>(J29/K29)^2</x:f>
        <x:v>0.5752331843044841</x:v>
      </x:c>
      <x:c r="M29" s="42" t="n">
        <x:f>$B$6*G29^2*J29/K29^2</x:f>
        <x:v>-0.17000397684623922</x:v>
      </x:c>
      <x:c r="N29" s="42" t="n">
        <x:f>D29+M29</x:f>
        <x:v>138.65231602315376</x:v>
      </x:c>
      <x:c r="O29" s="42" t="n">
        <x:f>1/K29^2</x:f>
        <x:v>12612.09025446467</x:v>
      </x:c>
      <x:c r="P29" s="42" t="n">
        <x:f>$B$5+$B$6*D29</x:f>
        <x:v>87.05318240031686</x:v>
      </x:c>
      <x:c r="Q29" s="42" t="n">
        <x:f>1/$B$7+(D29-$B$13)^2/$B$14</x:f>
        <x:v>0.4872344785456485</x:v>
      </x:c>
      <x:c r="R29" s="42" t="n">
        <x:f>J29/($B$12*SQRT(1-Q29))</x:f>
        <x:v>-0.2331723000747181</x:v>
      </x:c>
    </x:row>
    <x:row r="30">
      <x:c r="A30" s="44" t="n">
        <x:v>3</x:v>
      </x:c>
      <x:c r="B30" s="46" t="n">
        <x:v>9.4997</x:v>
      </x:c>
      <x:c r="C30" s="46" t="n">
        <x:v>0.00005</x:v>
      </x:c>
      <x:c r="D30" s="46" t="n">
        <x:v>-164.179553</x:v>
      </x:c>
      <x:c r="E30" s="46" t="n">
        <x:v>0.348309</x:v>
      </x:c>
      <x:c r="F30" s="46" t="n">
        <x:v>0.1</x:v>
      </x:c>
      <x:c r="G30" s="46" t="n">
        <x:f>SQRT(E30^2+F30^2)</x:f>
        <x:v>0.3623798552361872</x:v>
      </x:c>
      <x:c r="H30" s="42" t="n">
        <x:v>75.53513055329005</x:v>
      </x:c>
      <x:c r="I30" s="42" t="n">
        <x:v>0.00028430842569093784</x:v>
      </x:c>
      <x:c r="J30" s="42" t="n">
        <x:f>H30-P30</x:f>
        <x:v>-0.005415901998645722</x:v>
      </x:c>
      <x:c r="K30" s="42" t="n">
        <x:f>SQRT(I30^2+($B$6*G30)^2)</x:f>
        <x:v>0.013771653024914482</x:v>
      </x:c>
      <x:c r="L30" s="42" t="n">
        <x:f>(J30/K30)^2</x:f>
        <x:v>0.15465695311793012</x:v>
      </x:c>
      <x:c r="M30" s="42" t="n">
        <x:f>$B$6*G30^2*J30/K30^2</x:f>
        <x:v>-0.1424807542730569</x:v>
      </x:c>
      <x:c r="N30" s="42" t="n">
        <x:f>D30+M30</x:f>
        <x:v>-164.32203375427306</x:v>
      </x:c>
      <x:c r="O30" s="42" t="n">
        <x:f>1/K30^2</x:f>
        <x:v>5272.636790329835</x:v>
      </x:c>
      <x:c r="P30" s="42" t="n">
        <x:f>$B$5+$B$6*D30</x:f>
        <x:v>75.54054645528869</x:v>
      </x:c>
      <x:c r="Q30" s="42" t="n">
        <x:f>1/$B$7+(D30-$B$13)^2/$B$14</x:f>
        <x:v>0.9508475647439573</x:v>
      </x:c>
      <x:c r="R30" s="42" t="n">
        <x:f>J30/($B$12*SQRT(1-Q30))</x:f>
        <x:v>-0.6039572663067285</x:v>
      </x:c>
    </x:row>
    <x:row r="34">
      <x:c r="A34" s="20" t="str">
        <x:v>Fit line helper</x:v>
      </x:c>
      <x:c r="B34" s="20" t="str">
        <x:v>x (mm)</x:v>
      </x:c>
      <x:c r="C34" s="20" t="str">
        <x:v>rho_fit (cm)</x:v>
      </x:c>
    </x:row>
    <x:row r="35">
      <x:c r="A35" t="str">
        <x:v>min x</x:v>
      </x:c>
      <x:c r="B35" s="39" t="n">
        <x:f>MIN(D27:D30)</x:f>
        <x:v>-164.179553</x:v>
      </x:c>
      <x:c r="C35" s="39" t="n">
        <x:f>$B$5+$B$6*B35</x:f>
        <x:v>75.54054645528869</x:v>
      </x:c>
    </x:row>
    <x:row r="36">
      <x:c r="A36" t="str">
        <x:v>max x</x:v>
      </x:c>
      <x:c r="B36" s="39" t="n">
        <x:f>MAX(D27:D30)</x:f>
        <x:v>138.82232</x:v>
      </x:c>
      <x:c r="C36" s="39" t="n">
        <x:f>$B$5+$B$6*B36</x:f>
        <x:v>87.05318240031686</x:v>
      </x:c>
    </x:row>
  </x:sheetData>
  <x:mergeCells>
    <x:mergeCell ref="A1:R1"/>
    <x:mergeCell ref="A2:R2"/>
    <x:mergeCell ref="H4:R4"/>
    <x:mergeCell ref="H13:R13"/>
    <x:mergeCell ref="H14:R16"/>
  </x:mergeCells>
  <x:conditionalFormatting sqref="F5:F11">
    <x:cfRule type="cellIs" dxfId="0" priority="1" operator="greaterThan">
      <x:formula>0.00001</x:formula>
    </x:cfRule>
    <x:cfRule type="cellIs" dxfId="1" priority="2" operator="lessThan">
      <x:formula>-0.00001</x:formula>
    </x:cfRule>
  </x:conditionalFormatting>
  <x:pageMargins left="0.7" right="0.7" top="0.75" bottom="0.75" header="0.3" footer="0.3"/>
  <x:drawing xmlns:r="http://schemas.openxmlformats.org/officeDocument/2006/relationships" r:id="Rbeab3bd49f794346"/>
</x:worksheet>
</file>